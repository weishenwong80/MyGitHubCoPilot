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ea53d75dff6f115/Documents/WS/Courses/Gen AI SMU/Project/"/>
    </mc:Choice>
  </mc:AlternateContent>
  <xr:revisionPtr revIDLastSave="13" documentId="11_828B8E98586D564EE19B800F49DDC99476CC1769" xr6:coauthVersionLast="47" xr6:coauthVersionMax="47" xr10:uidLastSave="{7C312321-8FE3-4118-8AAD-1A306D2904C4}"/>
  <bookViews>
    <workbookView xWindow="-108" yWindow="-108" windowWidth="23256" windowHeight="12456" tabRatio="500" activeTab="2" xr2:uid="{00000000-000D-0000-FFFF-FFFF00000000}"/>
  </bookViews>
  <sheets>
    <sheet name="Instructions" sheetId="1" r:id="rId1"/>
    <sheet name="Rubric" sheetId="2" r:id="rId2"/>
    <sheet name="Resul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3" l="1"/>
  <c r="D9" i="3" s="1"/>
  <c r="C8" i="3"/>
  <c r="D8" i="3" s="1"/>
  <c r="C7" i="3"/>
  <c r="D7" i="3" s="1"/>
  <c r="C6" i="3"/>
  <c r="D6" i="3" s="1"/>
  <c r="C5" i="3"/>
  <c r="D5" i="3" s="1"/>
  <c r="C4" i="3"/>
  <c r="D4" i="3" s="1"/>
  <c r="F4" i="3" l="1"/>
  <c r="E4" i="3"/>
  <c r="B13" i="3"/>
  <c r="F5" i="3"/>
  <c r="E5" i="3"/>
  <c r="F6" i="3"/>
  <c r="E6" i="3"/>
  <c r="F7" i="3"/>
  <c r="E7" i="3"/>
  <c r="F8" i="3"/>
  <c r="E8" i="3"/>
  <c r="F9" i="3"/>
  <c r="E9" i="3"/>
  <c r="E10" i="3" l="1"/>
  <c r="B14" i="3" s="1"/>
  <c r="B12" i="3" l="1"/>
</calcChain>
</file>

<file path=xl/sharedStrings.xml><?xml version="1.0" encoding="utf-8"?>
<sst xmlns="http://schemas.openxmlformats.org/spreadsheetml/2006/main" count="157" uniqueCount="142">
  <si>
    <t>GenAI Readiness Rubric  -  based on ISO/IEC 5339:2024 and ISO/IEC 5338:2023</t>
  </si>
  <si>
    <t>Purpose</t>
  </si>
  <si>
    <t>Self-assessment for the executive team: score 20 criteria to gauge whether the organization is ready to implement Generative AI. Dimensions A-C draw on ISO/IEC 5339 (AI application context, stakeholders, trustworthiness); dimensions D-F draw on ISO/IEC 5338 (AI system life cycle processes). Neither standard is certifiable; this rubric is a decision aid, not an audit.</t>
  </si>
  <si>
    <t>How to use</t>
  </si>
  <si>
    <t>1. Go to the 'Rubric' sheet.  2. For each of the 20 criteria, enter a score of 1-4 in the yellow Score column (see scale below).  3. Add evidence or comments in the Notes column.  4. Read your overall readiness score and per-dimension results on the 'Results' sheet  -  everything there calculates automatically.</t>
  </si>
  <si>
    <t>Who should score</t>
  </si>
  <si>
    <t>Score as a leadership team (CEO/CIO/CDO/CRO/CFO + business owners), ideally in one workshop. Where views differ, score the lower value and note why  -  optimism is the main source of false readiness.</t>
  </si>
  <si>
    <t>Scoring scale</t>
  </si>
  <si>
    <t>1  -  Absent</t>
  </si>
  <si>
    <t>Nothing in place; the topic has not been addressed.</t>
  </si>
  <si>
    <t>2  -  Ad hoc</t>
  </si>
  <si>
    <t>Some informal or partial activity; dependent on individuals; not documented or repeatable.</t>
  </si>
  <si>
    <t>3  -  Defined</t>
  </si>
  <si>
    <t>Documented, approved approach exists and is applied to the GenAI initiative.</t>
  </si>
  <si>
    <t>4  -  Managed</t>
  </si>
  <si>
    <t>Approach is operating, measured, and improved; evidence would satisfy an auditor or regulator.</t>
  </si>
  <si>
    <t>Readiness bands</t>
  </si>
  <si>
    <t>80-100%</t>
  </si>
  <si>
    <t>READY TO SCALE  -  proceed; governance and lifecycle discipline can support production GenAI.</t>
  </si>
  <si>
    <t>65-79%</t>
  </si>
  <si>
    <t>CONDITIONALLY READY  -  proceed with a contained pilot under explicit guardrails; close gaps in parallel.</t>
  </si>
  <si>
    <t>50-64%</t>
  </si>
  <si>
    <t>FOUNDATIONAL GAPS  -  remediate weakest dimensions before any production use; limit work to sandboxed experiments.</t>
  </si>
  <si>
    <t>Below 50%</t>
  </si>
  <si>
    <t>NOT READY  -  build fundamentals (strategy, data governance, risk, skills) before committing to GenAI.</t>
  </si>
  <si>
    <t>Red-flag rule</t>
  </si>
  <si>
    <t>Any single dimension scoring below 50% caps effective readiness one band lower, regardless of the total  -  a strong average cannot compensate for, e.g., absent data governance. The Results sheet flags this automatically.</t>
  </si>
  <si>
    <t>Legend</t>
  </si>
  <si>
    <t>Yellow cells with blue text = your inputs (Score and Notes columns on the Rubric sheet). All other cells are calculated or fixed  -  do not edit. Example scores are pre-filled to show the mechanics; replace them with your own.</t>
  </si>
  <si>
    <t>Standards map</t>
  </si>
  <si>
    <t>A-B: ISO/IEC 5339 context, stakeholder (make/use/impact) and life-cycle-relationship guidance.  C: ISO/IEC 5339 non-functional characteristics (with ISO/IEC 23894 risk guidance).  D-E: ISO/IEC 5338 data and technical life cycle processes.  F: ISO/IEC 5338 organizational/agreement enabling processes (with ISO/IEC 42001 as governance layer).</t>
  </si>
  <si>
    <t>ID</t>
  </si>
  <si>
    <t>Dimension</t>
  </si>
  <si>
    <t>Criterion</t>
  </si>
  <si>
    <t>What a 4 looks like</t>
  </si>
  <si>
    <t>ISO anchor</t>
  </si>
  <si>
    <t>Score (1-4)</t>
  </si>
  <si>
    <t>Notes / evidence</t>
  </si>
  <si>
    <t>A1</t>
  </si>
  <si>
    <t>A. Strategic context &amp; value</t>
  </si>
  <si>
    <t>GenAI use cases are defined with intended purpose, expected outcomes, and measurable success criteria.</t>
  </si>
  <si>
    <t>Prioritized use-case portfolio with owner, KPI targets, and explicit out-of-scope uses for each.</t>
  </si>
  <si>
    <t>5339 Clause 5 (context)</t>
  </si>
  <si>
    <t>Example  -  replace</t>
  </si>
  <si>
    <t>A2</t>
  </si>
  <si>
    <t>A business case exists covering value, full lifecycle cost, and build/buy/partner options.</t>
  </si>
  <si>
    <t>Approved business case incl. run costs (inference, monitoring, retraining) and vendor-vs-build analysis.</t>
  </si>
  <si>
    <t>5339 Clause 5</t>
  </si>
  <si>
    <t>A3</t>
  </si>
  <si>
    <t>Executive sponsorship is active and leadership has explicitly set the organization's AI risk appetite.</t>
  </si>
  <si>
    <t>Named C-level sponsor; documented risk-appetite statement approved by board/exec committee.</t>
  </si>
  <si>
    <t>5339 Clause 5, Clause 6</t>
  </si>
  <si>
    <t>B1</t>
  </si>
  <si>
    <t>B. Stakeholder &amp; impact</t>
  </si>
  <si>
    <t>Stakeholders are mapped across make / use / impact perspectives (producers, providers, users, customers, community, regulators).</t>
  </si>
  <si>
    <t>Documented stakeholder map with roles and responsibilities per life cycle stage, reviewed by legal/compliance.</t>
  </si>
  <si>
    <t>5339 Clause 6 (framework)</t>
  </si>
  <si>
    <t>B2</t>
  </si>
  <si>
    <t>The people who will use or be affected by GenAI outputs have been identified and consulted; workforce change impacts are assessed.</t>
  </si>
  <si>
    <t>User research/consultation done; change-management and communication plan in place; unions/works councils engaged where relevant.</t>
  </si>
  <si>
    <t>5339 Clause 6 (use)</t>
  </si>
  <si>
    <t>B3</t>
  </si>
  <si>
    <t>Societal, ethical, and community impacts of intended GenAI uses have been assessed.</t>
  </si>
  <si>
    <t>Documented impact assessment covering fairness, misinformation, accessibility, and affected-community concerns, with mitigations.</t>
  </si>
  <si>
    <t>5339 Clause 6 (impact)</t>
  </si>
  <si>
    <t>C1</t>
  </si>
  <si>
    <t>C. Risk, trustworthiness &amp; compliance</t>
  </si>
  <si>
    <t>An AI risk management process exists (or is planned) and is integrated with enterprise risk management.</t>
  </si>
  <si>
    <t>AI risks identified, assessed, treated and reported through ERM per ISO/IEC 23894; risk owner named per use case.</t>
  </si>
  <si>
    <t>5339 Clause 5.6; 23894</t>
  </si>
  <si>
    <t>C2</t>
  </si>
  <si>
    <t>Trustworthiness requirements are defined: bias, explainability, transparency, and tolerance for hallucination/error.</t>
  </si>
  <si>
    <t>Quantified thresholds per use case (e.g. accuracy floor, disclosure rules, human-in-the-loop triggers) signed off by the business owner.</t>
  </si>
  <si>
    <t>5339 Clause 5.5</t>
  </si>
  <si>
    <t>C3</t>
  </si>
  <si>
    <t>Regulatory exposure is mapped per jurisdiction (e.g. EU AI Act, sector rules) with obligations assigned.</t>
  </si>
  <si>
    <t>Legal register of AI obligations per market; classification of each use case; compliance tasks assigned and tracked.</t>
  </si>
  <si>
    <t>5339 Clause 6 (regulator)</t>
  </si>
  <si>
    <t>C4</t>
  </si>
  <si>
    <t>Security, privacy, and IP controls specific to GenAI are in place (prompt/data leakage, training-data rights, confidentiality).</t>
  </si>
  <si>
    <t>Controls for data sent to models, IP/licensing review of training data and outputs, DLP for prompts, incident playbooks.</t>
  </si>
  <si>
    <t>5339 Clause 5.5; 5338 (security particularities)</t>
  </si>
  <si>
    <t>D1</t>
  </si>
  <si>
    <t>D. Data readiness</t>
  </si>
  <si>
    <t>Data availability, quality, and provenance have been assessed for the intended use cases.</t>
  </si>
  <si>
    <t>Data profiled against use-case needs; quality metrics and provenance documented; gaps costed.</t>
  </si>
  <si>
    <t>5338 (data engineering)</t>
  </si>
  <si>
    <t>D2</t>
  </si>
  <si>
    <t>Data governance covers ownership, classification, and permission to use data for AI, including protection of sensitive training data.</t>
  </si>
  <si>
    <t>Data owners named; classification applied; legal basis for AI use confirmed; sensitive data protected in dev as in prod.</t>
  </si>
  <si>
    <t>5338 (data particularities)</t>
  </si>
  <si>
    <t>D3</t>
  </si>
  <si>
    <t>Data lifecycle controls exist: retention, lineage, and the ability to trace model outputs back to data and model versions.</t>
  </si>
  <si>
    <t>End-to-end lineage from source data through model version to output; retention/deletion enforced.</t>
  </si>
  <si>
    <t>5338 (data mgmt)</t>
  </si>
  <si>
    <t>E1</t>
  </si>
  <si>
    <t>E. Lifecycle &amp; operations</t>
  </si>
  <si>
    <t>Defined life cycle stage gates exist from inception through design, V&amp;V, deployment, operation, to retirement.</t>
  </si>
  <si>
    <t>Documented gate criteria and sign-off authority at each stage; applied to every AI system incl. vendor tools.</t>
  </si>
  <si>
    <t>5338 Clause 6 (technical processes)</t>
  </si>
  <si>
    <t>E2</t>
  </si>
  <si>
    <t>Verification &amp; validation capability includes GenAI-specific evaluation (output quality, safety testing, red-teaming).</t>
  </si>
  <si>
    <t>Systematic eval suites, adversarial/red-team testing, and acceptance criteria run before and after release.</t>
  </si>
  <si>
    <t>5338 (V&amp;V)</t>
  </si>
  <si>
    <t>E3</t>
  </si>
  <si>
    <t>Deployment and change control: production approval, versioning of models and prompts, rollback capability.</t>
  </si>
  <si>
    <t>All model/prompt/config changes versioned and approved; rollback tested; vendor model updates treated as changes.</t>
  </si>
  <si>
    <t>5338 (deployment)</t>
  </si>
  <si>
    <t>E4</t>
  </si>
  <si>
    <t>Operational monitoring covers drift/staleness, performance, misuse, and incident response with continuous validation.</t>
  </si>
  <si>
    <t>Live dashboards for quality and drift; alert thresholds; AI incident process rehearsed; periodic revalidation scheduled.</t>
  </si>
  <si>
    <t>5338 (operation &amp; monitoring)</t>
  </si>
  <si>
    <t>F1</t>
  </si>
  <si>
    <t>F. Organization, skills &amp; governance</t>
  </si>
  <si>
    <t>Required skills and roles (data science, MLOps, AI product, prompt/eval engineering) are present or credibly sourced.</t>
  </si>
  <si>
    <t>Skills gap analysis done; hiring/upskilling/partner plan funded; AI literacy training rolled out to affected staff.</t>
  </si>
  <si>
    <t>5338 (HR enabling process)</t>
  </si>
  <si>
    <t>F2</t>
  </si>
  <si>
    <t>A governance structure exists: accountable owners, AI policy, and clear decision rights for AI adoption.</t>
  </si>
  <si>
    <t>AI policy approved and communicated; governance body meets regularly; decision rights documented (aligns with ISO/IEC 42001).</t>
  </si>
  <si>
    <t>5338 (org enabling); 42001</t>
  </si>
  <si>
    <t>F3</t>
  </si>
  <si>
    <t>Supplier management covers AI vendors: model-provider due diligence, contract terms, and exit strategy.</t>
  </si>
  <si>
    <t>Due-diligence checklist for AI vendors; contracts address data use, IP, liability, SLAs, model-change notice; exit plan exists.</t>
  </si>
  <si>
    <t>5338 (agreement processes)</t>
  </si>
  <si>
    <t>GenAI Readiness  -  Results</t>
  </si>
  <si>
    <t>Weight</t>
  </si>
  <si>
    <t>Avg score (of 4)</t>
  </si>
  <si>
    <t>Dimension %</t>
  </si>
  <si>
    <t>Weighted points</t>
  </si>
  <si>
    <t>Reading</t>
  </si>
  <si>
    <t>A. Strategic context &amp; value (ISO/IEC 5339)</t>
  </si>
  <si>
    <t>B. Stakeholder &amp; impact readiness (ISO/IEC 5339)</t>
  </si>
  <si>
    <t>C. Risk, trustworthiness &amp; compliance (ISO/IEC 5339 / 23894)</t>
  </si>
  <si>
    <t>D. Data readiness (ISO/IEC 5338)</t>
  </si>
  <si>
    <t>E. Lifecycle &amp; operations capability (ISO/IEC 5338)</t>
  </si>
  <si>
    <t>F. Organization, skills &amp; governance (ISO/IEC 5338 / 42001)</t>
  </si>
  <si>
    <t>OVERALL READINESS</t>
  </si>
  <si>
    <t>Readiness band</t>
  </si>
  <si>
    <t>Red-flag check</t>
  </si>
  <si>
    <t>Recommended action</t>
  </si>
  <si>
    <t>Method: each criterion scored 1-4; dimension % = average score / 4; overall = weighted sum (A 15%, B 15%, C 20%, D 15%, E 20%, F 15%  -  weights reflect the higher decision impact of risk/compliance and lifecycle capability; adjust on the Results sheet if your context differs). Bands and red-flag rule are defined on the Instructions sheet. Sources: ISO/IEC 5339:2024, ISO/IEC 5338:2023 (framework structure); weights and bands are consulting judgment, not part of the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</si>
</sst>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1F3864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0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3" fillId="0" borderId="1" xfId="0" applyFont="1" applyBorder="1"/>
    <xf numFmtId="9" fontId="3" fillId="0" borderId="1" xfId="0" applyNumberFormat="1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8" fillId="4" borderId="1" xfId="0" applyFont="1" applyFill="1" applyBorder="1"/>
    <xf numFmtId="0" fontId="0" fillId="4" borderId="1" xfId="0" applyFill="1" applyBorder="1"/>
    <xf numFmtId="164" fontId="8" fillId="4" borderId="1" xfId="0" applyNumberFormat="1" applyFont="1" applyFill="1" applyBorder="1"/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8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3" width="95" customWidth="1"/>
  </cols>
  <sheetData>
    <row r="1" spans="2:3" ht="17.399999999999999" x14ac:dyDescent="0.3">
      <c r="B1" s="4" t="s">
        <v>0</v>
      </c>
      <c r="C1" s="4"/>
    </row>
    <row r="3" spans="2:3" ht="52.8" x14ac:dyDescent="0.3">
      <c r="B3" s="6" t="s">
        <v>1</v>
      </c>
      <c r="C3" s="7" t="s">
        <v>2</v>
      </c>
    </row>
    <row r="4" spans="2:3" ht="39.6" x14ac:dyDescent="0.3">
      <c r="B4" s="6" t="s">
        <v>3</v>
      </c>
      <c r="C4" s="7" t="s">
        <v>4</v>
      </c>
    </row>
    <row r="5" spans="2:3" ht="26.4" x14ac:dyDescent="0.3">
      <c r="B5" s="6" t="s">
        <v>5</v>
      </c>
      <c r="C5" s="7" t="s">
        <v>6</v>
      </c>
    </row>
    <row r="6" spans="2:3" x14ac:dyDescent="0.3">
      <c r="B6" s="6" t="s">
        <v>7</v>
      </c>
      <c r="C6" s="7"/>
    </row>
    <row r="7" spans="2:3" x14ac:dyDescent="0.3">
      <c r="B7" s="7" t="s">
        <v>8</v>
      </c>
      <c r="C7" s="7" t="s">
        <v>9</v>
      </c>
    </row>
    <row r="8" spans="2:3" x14ac:dyDescent="0.3">
      <c r="B8" s="7" t="s">
        <v>10</v>
      </c>
      <c r="C8" s="7" t="s">
        <v>11</v>
      </c>
    </row>
    <row r="9" spans="2:3" x14ac:dyDescent="0.3">
      <c r="B9" s="7" t="s">
        <v>12</v>
      </c>
      <c r="C9" s="7" t="s">
        <v>13</v>
      </c>
    </row>
    <row r="10" spans="2:3" x14ac:dyDescent="0.3">
      <c r="B10" s="7" t="s">
        <v>14</v>
      </c>
      <c r="C10" s="7" t="s">
        <v>15</v>
      </c>
    </row>
    <row r="11" spans="2:3" x14ac:dyDescent="0.3">
      <c r="B11" s="6" t="s">
        <v>16</v>
      </c>
      <c r="C11" s="7"/>
    </row>
    <row r="12" spans="2:3" x14ac:dyDescent="0.3">
      <c r="B12" s="7" t="s">
        <v>17</v>
      </c>
      <c r="C12" s="7" t="s">
        <v>18</v>
      </c>
    </row>
    <row r="13" spans="2:3" x14ac:dyDescent="0.3">
      <c r="B13" s="7" t="s">
        <v>19</v>
      </c>
      <c r="C13" s="7" t="s">
        <v>20</v>
      </c>
    </row>
    <row r="14" spans="2:3" ht="26.4" x14ac:dyDescent="0.3">
      <c r="B14" s="7" t="s">
        <v>21</v>
      </c>
      <c r="C14" s="7" t="s">
        <v>22</v>
      </c>
    </row>
    <row r="15" spans="2:3" x14ac:dyDescent="0.3">
      <c r="B15" s="7" t="s">
        <v>23</v>
      </c>
      <c r="C15" s="7" t="s">
        <v>24</v>
      </c>
    </row>
    <row r="16" spans="2:3" ht="26.4" x14ac:dyDescent="0.3">
      <c r="B16" s="6" t="s">
        <v>25</v>
      </c>
      <c r="C16" s="7" t="s">
        <v>26</v>
      </c>
    </row>
    <row r="17" spans="2:3" ht="39.6" x14ac:dyDescent="0.3">
      <c r="B17" s="6" t="s">
        <v>27</v>
      </c>
      <c r="C17" s="7" t="s">
        <v>28</v>
      </c>
    </row>
    <row r="18" spans="2:3" ht="52.8" x14ac:dyDescent="0.3">
      <c r="B18" s="6" t="s">
        <v>29</v>
      </c>
      <c r="C18" s="7" t="s">
        <v>30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zoomScaleNormal="100" workbookViewId="0">
      <pane ySplit="1" topLeftCell="A12" activePane="bottomLeft" state="frozen"/>
      <selection pane="bottomLeft" activeCell="F20" sqref="F20"/>
    </sheetView>
  </sheetViews>
  <sheetFormatPr defaultColWidth="8.6640625" defaultRowHeight="14.4" x14ac:dyDescent="0.3"/>
  <cols>
    <col min="1" max="1" width="6" customWidth="1"/>
    <col min="2" max="2" width="30" customWidth="1"/>
    <col min="3" max="3" width="52" customWidth="1"/>
    <col min="4" max="4" width="46" customWidth="1"/>
    <col min="5" max="5" width="24" customWidth="1"/>
    <col min="6" max="6" width="9" customWidth="1"/>
    <col min="7" max="7" width="36" customWidth="1"/>
  </cols>
  <sheetData>
    <row r="1" spans="1:7" ht="26.4" x14ac:dyDescent="0.3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37</v>
      </c>
    </row>
    <row r="2" spans="1:7" ht="26.4" x14ac:dyDescent="0.3">
      <c r="A2" s="9" t="s">
        <v>38</v>
      </c>
      <c r="B2" s="10" t="s">
        <v>39</v>
      </c>
      <c r="C2" s="11" t="s">
        <v>40</v>
      </c>
      <c r="D2" s="11" t="s">
        <v>41</v>
      </c>
      <c r="E2" s="11" t="s">
        <v>42</v>
      </c>
      <c r="F2" s="12">
        <v>3</v>
      </c>
      <c r="G2" s="13" t="s">
        <v>43</v>
      </c>
    </row>
    <row r="3" spans="1:7" ht="26.4" x14ac:dyDescent="0.3">
      <c r="A3" s="9" t="s">
        <v>44</v>
      </c>
      <c r="B3" s="10" t="s">
        <v>39</v>
      </c>
      <c r="C3" s="11" t="s">
        <v>45</v>
      </c>
      <c r="D3" s="11" t="s">
        <v>46</v>
      </c>
      <c r="E3" s="11" t="s">
        <v>47</v>
      </c>
      <c r="F3" s="12">
        <v>3</v>
      </c>
      <c r="G3" s="13"/>
    </row>
    <row r="4" spans="1:7" ht="26.4" x14ac:dyDescent="0.3">
      <c r="A4" s="9" t="s">
        <v>48</v>
      </c>
      <c r="B4" s="10" t="s">
        <v>39</v>
      </c>
      <c r="C4" s="11" t="s">
        <v>49</v>
      </c>
      <c r="D4" s="11" t="s">
        <v>50</v>
      </c>
      <c r="E4" s="11" t="s">
        <v>51</v>
      </c>
      <c r="F4" s="12">
        <v>3</v>
      </c>
      <c r="G4" s="13"/>
    </row>
    <row r="5" spans="1:7" ht="39.6" x14ac:dyDescent="0.3">
      <c r="A5" s="9" t="s">
        <v>52</v>
      </c>
      <c r="B5" s="10" t="s">
        <v>53</v>
      </c>
      <c r="C5" s="11" t="s">
        <v>54</v>
      </c>
      <c r="D5" s="11" t="s">
        <v>55</v>
      </c>
      <c r="E5" s="11" t="s">
        <v>56</v>
      </c>
      <c r="F5" s="12">
        <v>3</v>
      </c>
      <c r="G5" s="13"/>
    </row>
    <row r="6" spans="1:7" ht="39.6" x14ac:dyDescent="0.3">
      <c r="A6" s="9" t="s">
        <v>57</v>
      </c>
      <c r="B6" s="10" t="s">
        <v>53</v>
      </c>
      <c r="C6" s="11" t="s">
        <v>58</v>
      </c>
      <c r="D6" s="11" t="s">
        <v>59</v>
      </c>
      <c r="E6" s="11" t="s">
        <v>60</v>
      </c>
      <c r="F6" s="12">
        <v>3</v>
      </c>
      <c r="G6" s="13"/>
    </row>
    <row r="7" spans="1:7" ht="39.6" x14ac:dyDescent="0.3">
      <c r="A7" s="9" t="s">
        <v>61</v>
      </c>
      <c r="B7" s="10" t="s">
        <v>53</v>
      </c>
      <c r="C7" s="11" t="s">
        <v>62</v>
      </c>
      <c r="D7" s="11" t="s">
        <v>63</v>
      </c>
      <c r="E7" s="11" t="s">
        <v>64</v>
      </c>
      <c r="F7" s="12">
        <v>1</v>
      </c>
      <c r="G7" s="13"/>
    </row>
    <row r="8" spans="1:7" ht="39.6" x14ac:dyDescent="0.3">
      <c r="A8" s="9" t="s">
        <v>65</v>
      </c>
      <c r="B8" s="10" t="s">
        <v>66</v>
      </c>
      <c r="C8" s="11" t="s">
        <v>67</v>
      </c>
      <c r="D8" s="11" t="s">
        <v>68</v>
      </c>
      <c r="E8" s="11" t="s">
        <v>69</v>
      </c>
      <c r="F8" s="12">
        <v>3</v>
      </c>
      <c r="G8" s="13"/>
    </row>
    <row r="9" spans="1:7" ht="39.6" x14ac:dyDescent="0.3">
      <c r="A9" s="9" t="s">
        <v>70</v>
      </c>
      <c r="B9" s="10" t="s">
        <v>66</v>
      </c>
      <c r="C9" s="11" t="s">
        <v>71</v>
      </c>
      <c r="D9" s="11" t="s">
        <v>72</v>
      </c>
      <c r="E9" s="11" t="s">
        <v>73</v>
      </c>
      <c r="F9" s="12">
        <v>2</v>
      </c>
      <c r="G9" s="13"/>
    </row>
    <row r="10" spans="1:7" ht="39.6" x14ac:dyDescent="0.3">
      <c r="A10" s="9" t="s">
        <v>74</v>
      </c>
      <c r="B10" s="10" t="s">
        <v>66</v>
      </c>
      <c r="C10" s="11" t="s">
        <v>75</v>
      </c>
      <c r="D10" s="11" t="s">
        <v>76</v>
      </c>
      <c r="E10" s="11" t="s">
        <v>77</v>
      </c>
      <c r="F10" s="12">
        <v>3</v>
      </c>
      <c r="G10" s="13"/>
    </row>
    <row r="11" spans="1:7" ht="39.6" x14ac:dyDescent="0.3">
      <c r="A11" s="9" t="s">
        <v>78</v>
      </c>
      <c r="B11" s="10" t="s">
        <v>66</v>
      </c>
      <c r="C11" s="11" t="s">
        <v>79</v>
      </c>
      <c r="D11" s="11" t="s">
        <v>80</v>
      </c>
      <c r="E11" s="11" t="s">
        <v>81</v>
      </c>
      <c r="F11" s="12">
        <v>3</v>
      </c>
      <c r="G11" s="13"/>
    </row>
    <row r="12" spans="1:7" ht="26.4" x14ac:dyDescent="0.3">
      <c r="A12" s="9" t="s">
        <v>82</v>
      </c>
      <c r="B12" s="10" t="s">
        <v>83</v>
      </c>
      <c r="C12" s="11" t="s">
        <v>84</v>
      </c>
      <c r="D12" s="11" t="s">
        <v>85</v>
      </c>
      <c r="E12" s="11" t="s">
        <v>86</v>
      </c>
      <c r="F12" s="12">
        <v>3</v>
      </c>
      <c r="G12" s="13"/>
    </row>
    <row r="13" spans="1:7" ht="39.6" x14ac:dyDescent="0.3">
      <c r="A13" s="9" t="s">
        <v>87</v>
      </c>
      <c r="B13" s="10" t="s">
        <v>83</v>
      </c>
      <c r="C13" s="11" t="s">
        <v>88</v>
      </c>
      <c r="D13" s="11" t="s">
        <v>89</v>
      </c>
      <c r="E13" s="11" t="s">
        <v>90</v>
      </c>
      <c r="F13" s="12">
        <v>2</v>
      </c>
      <c r="G13" s="13"/>
    </row>
    <row r="14" spans="1:7" ht="26.4" x14ac:dyDescent="0.3">
      <c r="A14" s="9" t="s">
        <v>91</v>
      </c>
      <c r="B14" s="10" t="s">
        <v>83</v>
      </c>
      <c r="C14" s="11" t="s">
        <v>92</v>
      </c>
      <c r="D14" s="11" t="s">
        <v>93</v>
      </c>
      <c r="E14" s="11" t="s">
        <v>94</v>
      </c>
      <c r="F14" s="12">
        <v>1</v>
      </c>
      <c r="G14" s="13"/>
    </row>
    <row r="15" spans="1:7" ht="39.6" x14ac:dyDescent="0.3">
      <c r="A15" s="9" t="s">
        <v>95</v>
      </c>
      <c r="B15" s="10" t="s">
        <v>96</v>
      </c>
      <c r="C15" s="11" t="s">
        <v>97</v>
      </c>
      <c r="D15" s="11" t="s">
        <v>98</v>
      </c>
      <c r="E15" s="11" t="s">
        <v>99</v>
      </c>
      <c r="F15" s="12">
        <v>3</v>
      </c>
      <c r="G15" s="13"/>
    </row>
    <row r="16" spans="1:7" ht="26.4" x14ac:dyDescent="0.3">
      <c r="A16" s="9" t="s">
        <v>100</v>
      </c>
      <c r="B16" s="10" t="s">
        <v>96</v>
      </c>
      <c r="C16" s="11" t="s">
        <v>101</v>
      </c>
      <c r="D16" s="11" t="s">
        <v>102</v>
      </c>
      <c r="E16" s="11" t="s">
        <v>103</v>
      </c>
      <c r="F16" s="12">
        <v>3</v>
      </c>
      <c r="G16" s="13"/>
    </row>
    <row r="17" spans="1:7" ht="39.6" x14ac:dyDescent="0.3">
      <c r="A17" s="9" t="s">
        <v>104</v>
      </c>
      <c r="B17" s="10" t="s">
        <v>96</v>
      </c>
      <c r="C17" s="11" t="s">
        <v>105</v>
      </c>
      <c r="D17" s="11" t="s">
        <v>106</v>
      </c>
      <c r="E17" s="11" t="s">
        <v>107</v>
      </c>
      <c r="F17" s="12">
        <v>2</v>
      </c>
      <c r="G17" s="13"/>
    </row>
    <row r="18" spans="1:7" ht="39.6" x14ac:dyDescent="0.3">
      <c r="A18" s="9" t="s">
        <v>108</v>
      </c>
      <c r="B18" s="10" t="s">
        <v>96</v>
      </c>
      <c r="C18" s="11" t="s">
        <v>109</v>
      </c>
      <c r="D18" s="11" t="s">
        <v>110</v>
      </c>
      <c r="E18" s="11" t="s">
        <v>111</v>
      </c>
      <c r="F18" s="12">
        <v>1</v>
      </c>
      <c r="G18" s="13"/>
    </row>
    <row r="19" spans="1:7" ht="26.4" x14ac:dyDescent="0.3">
      <c r="A19" s="9" t="s">
        <v>112</v>
      </c>
      <c r="B19" s="10" t="s">
        <v>113</v>
      </c>
      <c r="C19" s="11" t="s">
        <v>114</v>
      </c>
      <c r="D19" s="11" t="s">
        <v>115</v>
      </c>
      <c r="E19" s="11" t="s">
        <v>116</v>
      </c>
      <c r="F19" s="12">
        <v>1</v>
      </c>
      <c r="G19" s="13"/>
    </row>
    <row r="20" spans="1:7" ht="39.6" x14ac:dyDescent="0.3">
      <c r="A20" s="9" t="s">
        <v>117</v>
      </c>
      <c r="B20" s="10" t="s">
        <v>113</v>
      </c>
      <c r="C20" s="11" t="s">
        <v>118</v>
      </c>
      <c r="D20" s="11" t="s">
        <v>119</v>
      </c>
      <c r="E20" s="11" t="s">
        <v>120</v>
      </c>
      <c r="F20" s="12">
        <v>3</v>
      </c>
      <c r="G20" s="13"/>
    </row>
    <row r="21" spans="1:7" ht="39.6" x14ac:dyDescent="0.3">
      <c r="A21" s="9" t="s">
        <v>121</v>
      </c>
      <c r="B21" s="10" t="s">
        <v>113</v>
      </c>
      <c r="C21" s="11" t="s">
        <v>122</v>
      </c>
      <c r="D21" s="11" t="s">
        <v>123</v>
      </c>
      <c r="E21" s="11" t="s">
        <v>124</v>
      </c>
      <c r="F21" s="12">
        <v>3</v>
      </c>
      <c r="G21" s="13"/>
    </row>
  </sheetData>
  <dataValidations count="1">
    <dataValidation type="whole" allowBlank="1" showErrorMessage="1" errorTitle="Invalid score" error="Enter a whole number from 1 to 4." sqref="F2:F21" xr:uid="{00000000-0002-0000-0100-000000000000}">
      <formula1>1</formula1>
      <formula2>4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tabSelected="1" zoomScaleNormal="100" workbookViewId="0"/>
  </sheetViews>
  <sheetFormatPr defaultColWidth="8.6640625" defaultRowHeight="14.4" x14ac:dyDescent="0.3"/>
  <cols>
    <col min="1" max="1" width="40" customWidth="1"/>
    <col min="2" max="3" width="11" customWidth="1"/>
    <col min="4" max="5" width="13" customWidth="1"/>
    <col min="6" max="6" width="60" customWidth="1"/>
  </cols>
  <sheetData>
    <row r="1" spans="1:6" ht="17.399999999999999" x14ac:dyDescent="0.3">
      <c r="A1" s="5" t="s">
        <v>125</v>
      </c>
    </row>
    <row r="3" spans="1:6" ht="26.4" x14ac:dyDescent="0.3">
      <c r="A3" s="8" t="s">
        <v>32</v>
      </c>
      <c r="B3" s="8" t="s">
        <v>126</v>
      </c>
      <c r="C3" s="8" t="s">
        <v>127</v>
      </c>
      <c r="D3" s="8" t="s">
        <v>128</v>
      </c>
      <c r="E3" s="8" t="s">
        <v>129</v>
      </c>
      <c r="F3" s="8" t="s">
        <v>130</v>
      </c>
    </row>
    <row r="4" spans="1:6" x14ac:dyDescent="0.3">
      <c r="A4" s="14" t="s">
        <v>131</v>
      </c>
      <c r="B4" s="15">
        <v>0.15</v>
      </c>
      <c r="C4" s="16">
        <f>AVERAGE(Rubric!F2:F4)</f>
        <v>3</v>
      </c>
      <c r="D4" s="15">
        <f t="shared" ref="D4:D9" si="0">C4/4</f>
        <v>0.75</v>
      </c>
      <c r="E4" s="17">
        <f t="shared" ref="E4:E9" si="1">D4*B4</f>
        <v>0.11249999999999999</v>
      </c>
      <c r="F4" s="11" t="str">
        <f t="shared" ref="F4:F9" si="2">IF(D4&lt;0.5,"RED FLAG  -  below 50%: remediate before proceeding",IF(D4&lt;0.65,"Weak  -  priority gap",IF(D4&lt;0.8,"Adequate  -  strengthen during pilot","Strong")))</f>
        <v>Adequate  -  strengthen during pilot</v>
      </c>
    </row>
    <row r="5" spans="1:6" x14ac:dyDescent="0.3">
      <c r="A5" s="14" t="s">
        <v>132</v>
      </c>
      <c r="B5" s="15">
        <v>0.15</v>
      </c>
      <c r="C5" s="16">
        <f>AVERAGE(Rubric!F5:F7)</f>
        <v>2.3333333333333335</v>
      </c>
      <c r="D5" s="15">
        <f t="shared" si="0"/>
        <v>0.58333333333333337</v>
      </c>
      <c r="E5" s="17">
        <f t="shared" si="1"/>
        <v>8.7500000000000008E-2</v>
      </c>
      <c r="F5" s="11" t="str">
        <f t="shared" si="2"/>
        <v>Weak  -  priority gap</v>
      </c>
    </row>
    <row r="6" spans="1:6" x14ac:dyDescent="0.3">
      <c r="A6" s="14" t="s">
        <v>133</v>
      </c>
      <c r="B6" s="15">
        <v>0.2</v>
      </c>
      <c r="C6" s="16">
        <f>AVERAGE(Rubric!F8:F11)</f>
        <v>2.75</v>
      </c>
      <c r="D6" s="15">
        <f t="shared" si="0"/>
        <v>0.6875</v>
      </c>
      <c r="E6" s="17">
        <f t="shared" si="1"/>
        <v>0.13750000000000001</v>
      </c>
      <c r="F6" s="11" t="str">
        <f t="shared" si="2"/>
        <v>Adequate  -  strengthen during pilot</v>
      </c>
    </row>
    <row r="7" spans="1:6" x14ac:dyDescent="0.3">
      <c r="A7" s="14" t="s">
        <v>134</v>
      </c>
      <c r="B7" s="15">
        <v>0.15</v>
      </c>
      <c r="C7" s="16">
        <f>AVERAGE(Rubric!F12:F14)</f>
        <v>2</v>
      </c>
      <c r="D7" s="15">
        <f t="shared" si="0"/>
        <v>0.5</v>
      </c>
      <c r="E7" s="17">
        <f t="shared" si="1"/>
        <v>7.4999999999999997E-2</v>
      </c>
      <c r="F7" s="11" t="str">
        <f t="shared" si="2"/>
        <v>Weak  -  priority gap</v>
      </c>
    </row>
    <row r="8" spans="1:6" x14ac:dyDescent="0.3">
      <c r="A8" s="14" t="s">
        <v>135</v>
      </c>
      <c r="B8" s="15">
        <v>0.2</v>
      </c>
      <c r="C8" s="16">
        <f>AVERAGE(Rubric!F15:F18)</f>
        <v>2.25</v>
      </c>
      <c r="D8" s="15">
        <f t="shared" si="0"/>
        <v>0.5625</v>
      </c>
      <c r="E8" s="17">
        <f t="shared" si="1"/>
        <v>0.1125</v>
      </c>
      <c r="F8" s="11" t="str">
        <f t="shared" si="2"/>
        <v>Weak  -  priority gap</v>
      </c>
    </row>
    <row r="9" spans="1:6" x14ac:dyDescent="0.3">
      <c r="A9" s="14" t="s">
        <v>136</v>
      </c>
      <c r="B9" s="15">
        <v>0.15</v>
      </c>
      <c r="C9" s="16">
        <f>AVERAGE(Rubric!F19:F21)</f>
        <v>2.3333333333333335</v>
      </c>
      <c r="D9" s="15">
        <f t="shared" si="0"/>
        <v>0.58333333333333337</v>
      </c>
      <c r="E9" s="17">
        <f t="shared" si="1"/>
        <v>8.7500000000000008E-2</v>
      </c>
      <c r="F9" s="11" t="str">
        <f t="shared" si="2"/>
        <v>Weak  -  priority gap</v>
      </c>
    </row>
    <row r="10" spans="1:6" x14ac:dyDescent="0.3">
      <c r="A10" s="18" t="s">
        <v>137</v>
      </c>
      <c r="B10" s="19"/>
      <c r="C10" s="19"/>
      <c r="D10" s="19"/>
      <c r="E10" s="20">
        <f>SUM(E4:E9)</f>
        <v>0.61250000000000004</v>
      </c>
      <c r="F10" s="19"/>
    </row>
    <row r="12" spans="1:6" ht="15.6" x14ac:dyDescent="0.3">
      <c r="A12" s="21" t="s">
        <v>138</v>
      </c>
      <c r="B12" s="3" t="str">
        <f>IF(E10&gt;=0.8,"READY TO SCALE",IF(E10&gt;=0.65,"CONDITIONALLY READY",IF(E10&gt;=0.5,"FOUNDATIONAL GAPS","NOT READY")))</f>
        <v>FOUNDATIONAL GAPS</v>
      </c>
      <c r="C12" s="3"/>
      <c r="D12" s="3"/>
    </row>
    <row r="13" spans="1:6" x14ac:dyDescent="0.3">
      <c r="A13" s="22" t="s">
        <v>139</v>
      </c>
      <c r="B13" s="2" t="str">
        <f>IF(COUNTIF(D4:D9,"&lt;0.5")&gt;0,"CAUTION: "&amp;COUNTIF(D4:D9,"&lt;0.5")&amp;" dimension(s) below 50%  -  treat readiness as one band lower and fix these first.","None  -  no dimension below 50%.")</f>
        <v>None  -  no dimension below 50%.</v>
      </c>
      <c r="C13" s="2"/>
      <c r="D13" s="2"/>
      <c r="E13" s="2"/>
      <c r="F13" s="2"/>
    </row>
    <row r="14" spans="1:6" ht="30" customHeight="1" x14ac:dyDescent="0.3">
      <c r="A14" s="22" t="s">
        <v>140</v>
      </c>
      <c r="B14" s="2" t="str">
        <f>IF(E10&gt;=0.8,"Proceed to production implementation under your defined lifecycle gates (ISO/IEC 5338); keep monitoring and revalidation active.",IF(E10&gt;=0.65,"Run a contained pilot with explicit guardrails (human review, restricted data, limited users); close Weak/Red-flag dimensions in parallel.",IF(E10&gt;=0.5,"Do not deploy to production. Remediate the lowest-scoring dimensions, then re-score; limit GenAI to sandboxed experiments.","Defer GenAI implementation. Build strategy, data governance, risk management, and skills first; re-score in 3-6 months.")))</f>
        <v>Do not deploy to production. Remediate the lowest-scoring dimensions, then re-score; limit GenAI to sandboxed experiments.</v>
      </c>
      <c r="C14" s="2"/>
      <c r="D14" s="2"/>
      <c r="E14" s="2"/>
      <c r="F14" s="2"/>
    </row>
    <row r="16" spans="1:6" ht="45" customHeight="1" x14ac:dyDescent="0.3">
      <c r="A16" s="1" t="s">
        <v>141</v>
      </c>
      <c r="B16" s="1"/>
      <c r="C16" s="1"/>
      <c r="D16" s="1"/>
      <c r="E16" s="1"/>
      <c r="F16" s="1"/>
    </row>
  </sheetData>
  <mergeCells count="4">
    <mergeCell ref="B12:D12"/>
    <mergeCell ref="B13:F13"/>
    <mergeCell ref="B14:F14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Rubric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Wei Shen Wong</cp:lastModifiedBy>
  <cp:revision>0</cp:revision>
  <dcterms:created xsi:type="dcterms:W3CDTF">2026-07-18T07:26:00Z</dcterms:created>
  <dcterms:modified xsi:type="dcterms:W3CDTF">2026-07-18T07:32:52Z</dcterms:modified>
  <dc:language>en-US</dc:language>
</cp:coreProperties>
</file>